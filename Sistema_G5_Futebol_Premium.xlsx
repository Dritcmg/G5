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B_ATLETAS" sheetId="2" state="visible" r:id="rId2"/>
    <sheet xmlns:r="http://schemas.openxmlformats.org/officeDocument/2006/relationships" name="TREIN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6"/>
    </font>
    <font>
      <name val="Segoe UI"/>
      <b val="1"/>
      <color rgb="00FFFFFF"/>
      <sz val="11"/>
    </font>
    <font>
      <name val="Segoe UI"/>
      <color rgb="00212529"/>
      <sz val="10"/>
    </font>
    <font>
      <b val="1"/>
      <color rgb="00FFFFFF"/>
      <sz val="14"/>
    </font>
    <font>
      <name val="Segoe UI"/>
      <b val="1"/>
      <color rgb="00FFFFFF"/>
      <sz val="10"/>
    </font>
    <font>
      <b val="1"/>
    </font>
    <font>
      <b val="1"/>
      <color rgb="00FFFFFF"/>
    </font>
    <font>
      <b val="1"/>
      <color rgb="00566573"/>
      <sz val="9"/>
    </font>
  </fonts>
  <fills count="8">
    <fill>
      <patternFill/>
    </fill>
    <fill>
      <patternFill patternType="gray125"/>
    </fill>
    <fill>
      <patternFill patternType="solid"/>
    </fill>
    <fill>
      <patternFill patternType="solid">
        <fgColor rgb="002C3E50"/>
      </patternFill>
    </fill>
    <fill>
      <patternFill patternType="solid">
        <fgColor rgb="00FFFFFF"/>
      </patternFill>
    </fill>
    <fill>
      <patternFill patternType="solid">
        <fgColor rgb="00E0E0E0"/>
      </patternFill>
    </fill>
    <fill>
      <patternFill patternType="solid">
        <fgColor rgb="00D4E6F1"/>
      </patternFill>
    </fill>
    <fill>
      <patternFill patternType="solid">
        <fgColor rgb="00F8F9FA"/>
      </patternFill>
    </fill>
  </fills>
  <borders count="5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  <border>
      <left/>
      <right/>
      <top style="thin">
        <color rgb="00DEE2E6"/>
      </top>
      <bottom/>
      <diagonal/>
    </border>
    <border>
      <left/>
      <right style="thin">
        <color rgb="00DEE2E6"/>
      </right>
      <top style="thin">
        <color rgb="00DEE2E6"/>
      </top>
      <bottom/>
      <diagonal/>
    </border>
    <border>
      <left/>
      <right style="thin">
        <color rgb="00DEE2E6"/>
      </right>
      <top style="thin">
        <color rgb="00DEE2E6"/>
      </top>
      <bottom style="thin">
        <color rgb="00DEE2E6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0" fillId="3" borderId="0" pivotButton="0" quotePrefix="0" xfId="0"/>
    <xf numFmtId="0" fontId="4" fillId="3" borderId="0" pivotButton="0" quotePrefix="0" xfId="0"/>
    <xf numFmtId="0" fontId="5" fillId="3" borderId="1" applyAlignment="1" pivotButton="0" quotePrefix="0" xfId="0">
      <alignment horizontal="right"/>
    </xf>
    <xf numFmtId="0" fontId="6" fillId="4" borderId="1" applyAlignment="1" pivotButton="0" quotePrefix="0" xfId="0">
      <alignment horizontal="center"/>
    </xf>
    <xf numFmtId="0" fontId="5" fillId="3" borderId="0" pivotButton="0" quotePrefix="0" xfId="0"/>
    <xf numFmtId="0" fontId="7" fillId="2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8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right"/>
    </xf>
    <xf numFmtId="0" fontId="0" fillId="0" borderId="4" pivotButton="0" quotePrefix="0" xfId="0"/>
    <xf numFmtId="0" fontId="0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indent="1"/>
    </xf>
    <xf numFmtId="0" fontId="0" fillId="4" borderId="1" applyAlignment="1" pivotButton="0" quotePrefix="0" xfId="0">
      <alignment horizontal="center"/>
    </xf>
    <xf numFmtId="0" fontId="0" fillId="7" borderId="1" pivotButton="0" quotePrefix="0" xfId="0"/>
    <xf numFmtId="0" fontId="0" fillId="7" borderId="1" applyAlignment="1" pivotButton="0" quotePrefix="0" xfId="0">
      <alignment horizontal="center"/>
    </xf>
    <xf numFmtId="0" fontId="0" fillId="4" borderId="1" pivotButton="0" quotePrefix="0" xfId="0"/>
  </cellXfs>
  <cellStyles count="1">
    <cellStyle name="Normal" xfId="0" builtinId="0" hidden="0"/>
  </cellStyles>
  <dxfs count="4">
    <dxf>
      <fill>
        <patternFill>
          <bgColor rgb="00FFCDD2"/>
        </patternFill>
      </fill>
    </dxf>
    <dxf>
      <fill>
        <patternFill>
          <bgColor rgb="00FFF9C4"/>
        </patternFill>
      </fill>
    </dxf>
    <dxf>
      <fill>
        <patternFill>
          <bgColor rgb="00C8E6C9"/>
        </patternFill>
      </fill>
    </dxf>
    <dxf>
      <fill>
        <patternFill>
          <bgColor rgb="00BBDEF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CONFIGURAÇÕES DO SISTEMA</t>
        </is>
      </c>
    </row>
    <row r="3">
      <c r="B3" s="2" t="inlineStr">
        <is>
          <t>CATEGORIA</t>
        </is>
      </c>
      <c r="C3" s="2" t="inlineStr">
        <is>
          <t>ANOS (TXT)</t>
        </is>
      </c>
      <c r="E3" t="inlineStr">
        <is>
          <t>MESES</t>
        </is>
      </c>
      <c r="G3" t="inlineStr">
        <is>
          <t>FLAGS ATLETA</t>
        </is>
      </c>
      <c r="H3" t="inlineStr">
        <is>
          <t>FLAGS TREINO</t>
        </is>
      </c>
    </row>
    <row r="4">
      <c r="B4" s="3" t="inlineStr">
        <is>
          <t>Sub 17</t>
        </is>
      </c>
      <c r="C4" s="3" t="inlineStr">
        <is>
          <t>2009, 2010</t>
        </is>
      </c>
      <c r="E4" t="inlineStr">
        <is>
          <t>Janeiro</t>
        </is>
      </c>
      <c r="G4" t="inlineStr">
        <is>
          <t>1</t>
        </is>
      </c>
      <c r="H4" t="inlineStr">
        <is>
          <t>1</t>
        </is>
      </c>
    </row>
    <row r="5">
      <c r="B5" s="3" t="inlineStr">
        <is>
          <t>Sub 15</t>
        </is>
      </c>
      <c r="C5" s="3" t="inlineStr">
        <is>
          <t>2011</t>
        </is>
      </c>
      <c r="E5" t="inlineStr">
        <is>
          <t>Fevereiro</t>
        </is>
      </c>
      <c r="G5" t="inlineStr">
        <is>
          <t>2</t>
        </is>
      </c>
      <c r="H5" t="inlineStr">
        <is>
          <t>2</t>
        </is>
      </c>
    </row>
    <row r="6">
      <c r="B6" s="3" t="inlineStr">
        <is>
          <t>Sub 14</t>
        </is>
      </c>
      <c r="C6" s="3" t="inlineStr">
        <is>
          <t>2012</t>
        </is>
      </c>
      <c r="E6" t="inlineStr">
        <is>
          <t>Março</t>
        </is>
      </c>
      <c r="G6" t="inlineStr">
        <is>
          <t>3</t>
        </is>
      </c>
      <c r="H6" t="inlineStr">
        <is>
          <t>3</t>
        </is>
      </c>
    </row>
    <row r="7">
      <c r="B7" s="3" t="inlineStr">
        <is>
          <t>Sub 13</t>
        </is>
      </c>
      <c r="C7" s="3" t="inlineStr">
        <is>
          <t>2013</t>
        </is>
      </c>
      <c r="E7" t="inlineStr">
        <is>
          <t>Abril</t>
        </is>
      </c>
      <c r="G7" t="inlineStr">
        <is>
          <t>F</t>
        </is>
      </c>
      <c r="H7" t="inlineStr">
        <is>
          <t>FO</t>
        </is>
      </c>
    </row>
    <row r="8">
      <c r="B8" s="3" t="inlineStr">
        <is>
          <t>Sub 12</t>
        </is>
      </c>
      <c r="C8" s="3" t="inlineStr">
        <is>
          <t>2014</t>
        </is>
      </c>
      <c r="E8" t="inlineStr">
        <is>
          <t>Maio</t>
        </is>
      </c>
      <c r="G8" t="inlineStr">
        <is>
          <t>DM</t>
        </is>
      </c>
      <c r="H8" t="inlineStr">
        <is>
          <t>AM</t>
        </is>
      </c>
    </row>
    <row r="9">
      <c r="B9" s="3" t="inlineStr">
        <is>
          <t>Sub 11</t>
        </is>
      </c>
      <c r="C9" s="3" t="inlineStr">
        <is>
          <t>2015</t>
        </is>
      </c>
      <c r="E9" t="inlineStr">
        <is>
          <t>Junho</t>
        </is>
      </c>
      <c r="H9" t="inlineStr">
        <is>
          <t>CH</t>
        </is>
      </c>
    </row>
    <row r="10">
      <c r="B10" s="3" t="inlineStr">
        <is>
          <t>Sub 10</t>
        </is>
      </c>
      <c r="C10" s="3" t="inlineStr">
        <is>
          <t>2016</t>
        </is>
      </c>
      <c r="E10" t="inlineStr">
        <is>
          <t>Julho</t>
        </is>
      </c>
    </row>
    <row r="11">
      <c r="B11" s="3" t="inlineStr">
        <is>
          <t>Sub 9</t>
        </is>
      </c>
      <c r="C11" s="3" t="inlineStr">
        <is>
          <t>2017</t>
        </is>
      </c>
      <c r="E11" t="inlineStr">
        <is>
          <t>Agosto</t>
        </is>
      </c>
    </row>
    <row r="12">
      <c r="E12" t="inlineStr">
        <is>
          <t>Setembro</t>
        </is>
      </c>
    </row>
    <row r="13">
      <c r="E13" t="inlineStr">
        <is>
          <t>Outubro</t>
        </is>
      </c>
    </row>
    <row r="14">
      <c r="E14" t="inlineStr">
        <is>
          <t>Novembro</t>
        </is>
      </c>
    </row>
    <row r="15">
      <c r="E15" t="inlineStr">
        <is>
          <t>Dezembro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0"/>
  <sheetViews>
    <sheetView workbookViewId="0">
      <selection activeCell="A1" sqref="A1"/>
    </sheetView>
  </sheetViews>
  <sheetFormatPr baseColWidth="8" defaultRowHeight="15"/>
  <cols>
    <col width="30" customWidth="1" min="2" max="2"/>
    <col width="15" customWidth="1" min="3" max="3"/>
  </cols>
  <sheetData>
    <row r="2">
      <c r="B2" s="1" t="inlineStr">
        <is>
          <t>BANCO DE DADOS DE ATLETAS</t>
        </is>
      </c>
    </row>
    <row r="4">
      <c r="B4" s="2" t="inlineStr">
        <is>
          <t>Nome Completo</t>
        </is>
      </c>
      <c r="C4" s="2" t="inlineStr">
        <is>
          <t>Data Nasc</t>
        </is>
      </c>
      <c r="D4" s="2" t="inlineStr">
        <is>
          <t>Ano (Auto)</t>
        </is>
      </c>
      <c r="E4" s="2" t="inlineStr">
        <is>
          <t>Categoria (Auto)</t>
        </is>
      </c>
      <c r="F4" s="2" t="inlineStr">
        <is>
          <t>Posição</t>
        </is>
      </c>
      <c r="G4" s="2" t="inlineStr">
        <is>
          <t>Status</t>
        </is>
      </c>
    </row>
    <row r="5">
      <c r="B5" t="inlineStr">
        <is>
          <t>Gabriel Silva</t>
        </is>
      </c>
      <c r="C5" t="inlineStr">
        <is>
          <t>12/05/2012</t>
        </is>
      </c>
      <c r="D5">
        <f>IF(C5="","",TEXT(C5, "yyyy"))</f>
        <v/>
      </c>
      <c r="E5" t="inlineStr">
        <is>
          <t>Auto</t>
        </is>
      </c>
      <c r="F5" t="inlineStr">
        <is>
          <t>Goleiro</t>
        </is>
      </c>
      <c r="G5" t="inlineStr">
        <is>
          <t>ATIVO</t>
        </is>
      </c>
    </row>
    <row r="6">
      <c r="B6" t="inlineStr">
        <is>
          <t>Lucas Pereira</t>
        </is>
      </c>
      <c r="C6" t="inlineStr">
        <is>
          <t>08/02/2012</t>
        </is>
      </c>
      <c r="D6">
        <f>IF(C6="","",TEXT(C6, "yyyy"))</f>
        <v/>
      </c>
      <c r="E6" t="inlineStr">
        <is>
          <t>Auto</t>
        </is>
      </c>
      <c r="F6" t="inlineStr">
        <is>
          <t>Atacante</t>
        </is>
      </c>
      <c r="G6" t="inlineStr">
        <is>
          <t>ATIVO</t>
        </is>
      </c>
    </row>
    <row r="7">
      <c r="B7" t="inlineStr">
        <is>
          <t>Matheus Oliveira</t>
        </is>
      </c>
      <c r="C7" t="inlineStr">
        <is>
          <t>15/09/2011</t>
        </is>
      </c>
      <c r="D7">
        <f>IF(C7="","",TEXT(C7, "yyyy"))</f>
        <v/>
      </c>
      <c r="E7" t="inlineStr">
        <is>
          <t>Auto</t>
        </is>
      </c>
      <c r="F7" t="inlineStr">
        <is>
          <t>Zagueiro</t>
        </is>
      </c>
      <c r="G7" t="inlineStr">
        <is>
          <t>ATIVO</t>
        </is>
      </c>
    </row>
    <row r="8">
      <c r="B8" t="inlineStr">
        <is>
          <t>Enzo Santos</t>
        </is>
      </c>
      <c r="C8" t="inlineStr">
        <is>
          <t>20/01/2013</t>
        </is>
      </c>
      <c r="D8">
        <f>IF(C8="","",TEXT(C8, "yyyy"))</f>
        <v/>
      </c>
      <c r="E8" t="inlineStr">
        <is>
          <t>Auto</t>
        </is>
      </c>
      <c r="F8" t="inlineStr">
        <is>
          <t>Meia</t>
        </is>
      </c>
      <c r="G8" t="inlineStr">
        <is>
          <t>ATIVO</t>
        </is>
      </c>
    </row>
    <row r="9">
      <c r="B9" t="inlineStr">
        <is>
          <t>Pedro Rocha</t>
        </is>
      </c>
      <c r="C9" t="inlineStr">
        <is>
          <t>05/11/2012</t>
        </is>
      </c>
      <c r="D9">
        <f>IF(C9="","",TEXT(C9, "yyyy"))</f>
        <v/>
      </c>
      <c r="E9" t="inlineStr">
        <is>
          <t>Auto</t>
        </is>
      </c>
      <c r="F9" t="inlineStr">
        <is>
          <t>Volante</t>
        </is>
      </c>
      <c r="G9" t="inlineStr">
        <is>
          <t>ATIVO</t>
        </is>
      </c>
    </row>
    <row r="10">
      <c r="B10" t="inlineStr">
        <is>
          <t>João Souza</t>
        </is>
      </c>
      <c r="C10" t="inlineStr">
        <is>
          <t>18/07/2011</t>
        </is>
      </c>
      <c r="D10">
        <f>IF(C10="","",TEXT(C10, "yyyy"))</f>
        <v/>
      </c>
      <c r="E10" t="inlineStr">
        <is>
          <t>Auto</t>
        </is>
      </c>
      <c r="F10" t="inlineStr">
        <is>
          <t>Lateral</t>
        </is>
      </c>
      <c r="G10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5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0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hidden="1"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</cols>
  <sheetData>
    <row r="1">
      <c r="A1" s="4" t="n"/>
      <c r="B1" s="5" t="inlineStr">
        <is>
          <t>CONTROLE DE TREINOS - G5</t>
        </is>
      </c>
      <c r="C1" s="4" t="n"/>
      <c r="D1" s="4" t="n"/>
      <c r="E1" s="6" t="inlineStr">
        <is>
          <t>MÊS:</t>
        </is>
      </c>
      <c r="F1" s="7" t="inlineStr">
        <is>
          <t>Janeiro</t>
        </is>
      </c>
      <c r="G1" s="4" t="n"/>
      <c r="H1" s="6" t="inlineStr">
        <is>
          <t>CATEGORIA:</t>
        </is>
      </c>
      <c r="I1" s="7" t="inlineStr">
        <is>
          <t>Sub 14</t>
        </is>
      </c>
      <c r="J1" s="4" t="n"/>
      <c r="K1" s="6" t="inlineStr">
        <is>
          <t>ANO:</t>
        </is>
      </c>
      <c r="L1" s="8" t="n">
        <v>2026</v>
      </c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>
        <f>VLOOKUP(I1, CONFIG!B4:C11, 2, 0)</f>
        <v/>
      </c>
      <c r="AB1" s="4" t="n"/>
      <c r="AC1" s="4" t="n"/>
      <c r="AD1" s="4" t="n"/>
      <c r="AE1" s="4" t="n"/>
      <c r="AF1" s="4" t="n"/>
      <c r="AG1" s="4" t="n"/>
      <c r="AH1" s="4" t="n"/>
      <c r="AI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>
        <f>MATCH(F1, CONFIG!E4:E15, 0)</f>
        <v/>
      </c>
      <c r="AB2" s="4" t="n"/>
      <c r="AC2" s="4" t="n"/>
      <c r="AD2" s="4" t="n"/>
      <c r="AE2" s="4" t="n"/>
      <c r="AF2" s="4" t="n"/>
      <c r="AG2" s="4" t="n"/>
      <c r="AH2" s="4" t="n"/>
      <c r="AI2" s="4" t="n"/>
    </row>
    <row r="4">
      <c r="C4" s="9">
        <f>IF(ISERROR(DATE($L$1, $AA$2, 1)), "", IF(MONTH(DATE($L$1, $AA$2, 1))=$AA$2, LEFT(UPPER(TEXT(DATE($L$1, $AA$2, 1), "ddd")), 1), ""))</f>
        <v/>
      </c>
      <c r="D4" s="9">
        <f>IF(ISERROR(DATE($L$1, $AA$2, 2)), "", IF(MONTH(DATE($L$1, $AA$2, 2))=$AA$2, LEFT(UPPER(TEXT(DATE($L$1, $AA$2, 2), "ddd")), 1), ""))</f>
        <v/>
      </c>
      <c r="E4" s="9">
        <f>IF(ISERROR(DATE($L$1, $AA$2, 3)), "", IF(MONTH(DATE($L$1, $AA$2, 3))=$AA$2, LEFT(UPPER(TEXT(DATE($L$1, $AA$2, 3), "ddd")), 1), ""))</f>
        <v/>
      </c>
      <c r="F4" s="9">
        <f>IF(ISERROR(DATE($L$1, $AA$2, 4)), "", IF(MONTH(DATE($L$1, $AA$2, 4))=$AA$2, LEFT(UPPER(TEXT(DATE($L$1, $AA$2, 4), "ddd")), 1), ""))</f>
        <v/>
      </c>
      <c r="G4" s="9">
        <f>IF(ISERROR(DATE($L$1, $AA$2, 5)), "", IF(MONTH(DATE($L$1, $AA$2, 5))=$AA$2, LEFT(UPPER(TEXT(DATE($L$1, $AA$2, 5), "ddd")), 1), ""))</f>
        <v/>
      </c>
      <c r="H4" s="9">
        <f>IF(ISERROR(DATE($L$1, $AA$2, 6)), "", IF(MONTH(DATE($L$1, $AA$2, 6))=$AA$2, LEFT(UPPER(TEXT(DATE($L$1, $AA$2, 6), "ddd")), 1), ""))</f>
        <v/>
      </c>
      <c r="I4" s="9">
        <f>IF(ISERROR(DATE($L$1, $AA$2, 7)), "", IF(MONTH(DATE($L$1, $AA$2, 7))=$AA$2, LEFT(UPPER(TEXT(DATE($L$1, $AA$2, 7), "ddd")), 1), ""))</f>
        <v/>
      </c>
      <c r="J4" s="9">
        <f>IF(ISERROR(DATE($L$1, $AA$2, 8)), "", IF(MONTH(DATE($L$1, $AA$2, 8))=$AA$2, LEFT(UPPER(TEXT(DATE($L$1, $AA$2, 8), "ddd")), 1), ""))</f>
        <v/>
      </c>
      <c r="K4" s="9">
        <f>IF(ISERROR(DATE($L$1, $AA$2, 9)), "", IF(MONTH(DATE($L$1, $AA$2, 9))=$AA$2, LEFT(UPPER(TEXT(DATE($L$1, $AA$2, 9), "ddd")), 1), ""))</f>
        <v/>
      </c>
      <c r="L4" s="9">
        <f>IF(ISERROR(DATE($L$1, $AA$2, 10)), "", IF(MONTH(DATE($L$1, $AA$2, 10))=$AA$2, LEFT(UPPER(TEXT(DATE($L$1, $AA$2, 10), "ddd")), 1), ""))</f>
        <v/>
      </c>
      <c r="M4" s="9">
        <f>IF(ISERROR(DATE($L$1, $AA$2, 11)), "", IF(MONTH(DATE($L$1, $AA$2, 11))=$AA$2, LEFT(UPPER(TEXT(DATE($L$1, $AA$2, 11), "ddd")), 1), ""))</f>
        <v/>
      </c>
      <c r="N4" s="9">
        <f>IF(ISERROR(DATE($L$1, $AA$2, 12)), "", IF(MONTH(DATE($L$1, $AA$2, 12))=$AA$2, LEFT(UPPER(TEXT(DATE($L$1, $AA$2, 12), "ddd")), 1), ""))</f>
        <v/>
      </c>
      <c r="O4" s="9">
        <f>IF(ISERROR(DATE($L$1, $AA$2, 13)), "", IF(MONTH(DATE($L$1, $AA$2, 13))=$AA$2, LEFT(UPPER(TEXT(DATE($L$1, $AA$2, 13), "ddd")), 1), ""))</f>
        <v/>
      </c>
      <c r="P4" s="9">
        <f>IF(ISERROR(DATE($L$1, $AA$2, 14)), "", IF(MONTH(DATE($L$1, $AA$2, 14))=$AA$2, LEFT(UPPER(TEXT(DATE($L$1, $AA$2, 14), "ddd")), 1), ""))</f>
        <v/>
      </c>
      <c r="Q4" s="9">
        <f>IF(ISERROR(DATE($L$1, $AA$2, 15)), "", IF(MONTH(DATE($L$1, $AA$2, 15))=$AA$2, LEFT(UPPER(TEXT(DATE($L$1, $AA$2, 15), "ddd")), 1), ""))</f>
        <v/>
      </c>
      <c r="R4" s="9">
        <f>IF(ISERROR(DATE($L$1, $AA$2, 16)), "", IF(MONTH(DATE($L$1, $AA$2, 16))=$AA$2, LEFT(UPPER(TEXT(DATE($L$1, $AA$2, 16), "ddd")), 1), ""))</f>
        <v/>
      </c>
      <c r="S4" s="9">
        <f>IF(ISERROR(DATE($L$1, $AA$2, 17)), "", IF(MONTH(DATE($L$1, $AA$2, 17))=$AA$2, LEFT(UPPER(TEXT(DATE($L$1, $AA$2, 17), "ddd")), 1), ""))</f>
        <v/>
      </c>
      <c r="T4" s="9">
        <f>IF(ISERROR(DATE($L$1, $AA$2, 18)), "", IF(MONTH(DATE($L$1, $AA$2, 18))=$AA$2, LEFT(UPPER(TEXT(DATE($L$1, $AA$2, 18), "ddd")), 1), ""))</f>
        <v/>
      </c>
      <c r="U4" s="9">
        <f>IF(ISERROR(DATE($L$1, $AA$2, 19)), "", IF(MONTH(DATE($L$1, $AA$2, 19))=$AA$2, LEFT(UPPER(TEXT(DATE($L$1, $AA$2, 19), "ddd")), 1), ""))</f>
        <v/>
      </c>
      <c r="V4" s="9">
        <f>IF(ISERROR(DATE($L$1, $AA$2, 20)), "", IF(MONTH(DATE($L$1, $AA$2, 20))=$AA$2, LEFT(UPPER(TEXT(DATE($L$1, $AA$2, 20), "ddd")), 1), ""))</f>
        <v/>
      </c>
      <c r="W4" s="9">
        <f>IF(ISERROR(DATE($L$1, $AA$2, 21)), "", IF(MONTH(DATE($L$1, $AA$2, 21))=$AA$2, LEFT(UPPER(TEXT(DATE($L$1, $AA$2, 21), "ddd")), 1), ""))</f>
        <v/>
      </c>
      <c r="X4" s="9">
        <f>IF(ISERROR(DATE($L$1, $AA$2, 22)), "", IF(MONTH(DATE($L$1, $AA$2, 22))=$AA$2, LEFT(UPPER(TEXT(DATE($L$1, $AA$2, 22), "ddd")), 1), ""))</f>
        <v/>
      </c>
      <c r="Y4" s="9">
        <f>IF(ISERROR(DATE($L$1, $AA$2, 23)), "", IF(MONTH(DATE($L$1, $AA$2, 23))=$AA$2, LEFT(UPPER(TEXT(DATE($L$1, $AA$2, 23), "ddd")), 1), ""))</f>
        <v/>
      </c>
      <c r="Z4" s="9">
        <f>IF(ISERROR(DATE($L$1, $AA$2, 24)), "", IF(MONTH(DATE($L$1, $AA$2, 24))=$AA$2, LEFT(UPPER(TEXT(DATE($L$1, $AA$2, 24), "ddd")), 1), ""))</f>
        <v/>
      </c>
      <c r="AA4" s="9">
        <f>IF(ISERROR(DATE($L$1, $AA$2, 25)), "", IF(MONTH(DATE($L$1, $AA$2, 25))=$AA$2, LEFT(UPPER(TEXT(DATE($L$1, $AA$2, 25), "ddd")), 1), ""))</f>
        <v/>
      </c>
      <c r="AB4" s="9">
        <f>IF(ISERROR(DATE($L$1, $AA$2, 26)), "", IF(MONTH(DATE($L$1, $AA$2, 26))=$AA$2, LEFT(UPPER(TEXT(DATE($L$1, $AA$2, 26), "ddd")), 1), ""))</f>
        <v/>
      </c>
      <c r="AC4" s="9">
        <f>IF(ISERROR(DATE($L$1, $AA$2, 27)), "", IF(MONTH(DATE($L$1, $AA$2, 27))=$AA$2, LEFT(UPPER(TEXT(DATE($L$1, $AA$2, 27), "ddd")), 1), ""))</f>
        <v/>
      </c>
      <c r="AD4" s="9">
        <f>IF(ISERROR(DATE($L$1, $AA$2, 28)), "", IF(MONTH(DATE($L$1, $AA$2, 28))=$AA$2, LEFT(UPPER(TEXT(DATE($L$1, $AA$2, 28), "ddd")), 1), ""))</f>
        <v/>
      </c>
      <c r="AE4" s="9">
        <f>IF(ISERROR(DATE($L$1, $AA$2, 29)), "", IF(MONTH(DATE($L$1, $AA$2, 29))=$AA$2, LEFT(UPPER(TEXT(DATE($L$1, $AA$2, 29), "ddd")), 1), ""))</f>
        <v/>
      </c>
      <c r="AF4" s="9">
        <f>IF(ISERROR(DATE($L$1, $AA$2, 30)), "", IF(MONTH(DATE($L$1, $AA$2, 30))=$AA$2, LEFT(UPPER(TEXT(DATE($L$1, $AA$2, 30), "ddd")), 1), ""))</f>
        <v/>
      </c>
      <c r="AG4" s="9">
        <f>IF(ISERROR(DATE($L$1, $AA$2, 31)), "", IF(MONTH(DATE($L$1, $AA$2, 31))=$AA$2, LEFT(UPPER(TEXT(DATE($L$1, $AA$2, 31), "ddd")), 1), ""))</f>
        <v/>
      </c>
    </row>
    <row r="5">
      <c r="C5" s="10">
        <f>IF(ISERROR(DATE($L$1, $AA$2, 1)), "", IF(MONTH(DATE($L$1, $AA$2, 1))=$AA$2, 1, ""))</f>
        <v/>
      </c>
      <c r="D5" s="10">
        <f>IF(ISERROR(DATE($L$1, $AA$2, 2)), "", IF(MONTH(DATE($L$1, $AA$2, 2))=$AA$2, 2, ""))</f>
        <v/>
      </c>
      <c r="E5" s="10">
        <f>IF(ISERROR(DATE($L$1, $AA$2, 3)), "", IF(MONTH(DATE($L$1, $AA$2, 3))=$AA$2, 3, ""))</f>
        <v/>
      </c>
      <c r="F5" s="10">
        <f>IF(ISERROR(DATE($L$1, $AA$2, 4)), "", IF(MONTH(DATE($L$1, $AA$2, 4))=$AA$2, 4, ""))</f>
        <v/>
      </c>
      <c r="G5" s="10">
        <f>IF(ISERROR(DATE($L$1, $AA$2, 5)), "", IF(MONTH(DATE($L$1, $AA$2, 5))=$AA$2, 5, ""))</f>
        <v/>
      </c>
      <c r="H5" s="10">
        <f>IF(ISERROR(DATE($L$1, $AA$2, 6)), "", IF(MONTH(DATE($L$1, $AA$2, 6))=$AA$2, 6, ""))</f>
        <v/>
      </c>
      <c r="I5" s="10">
        <f>IF(ISERROR(DATE($L$1, $AA$2, 7)), "", IF(MONTH(DATE($L$1, $AA$2, 7))=$AA$2, 7, ""))</f>
        <v/>
      </c>
      <c r="J5" s="10">
        <f>IF(ISERROR(DATE($L$1, $AA$2, 8)), "", IF(MONTH(DATE($L$1, $AA$2, 8))=$AA$2, 8, ""))</f>
        <v/>
      </c>
      <c r="K5" s="10">
        <f>IF(ISERROR(DATE($L$1, $AA$2, 9)), "", IF(MONTH(DATE($L$1, $AA$2, 9))=$AA$2, 9, ""))</f>
        <v/>
      </c>
      <c r="L5" s="10">
        <f>IF(ISERROR(DATE($L$1, $AA$2, 10)), "", IF(MONTH(DATE($L$1, $AA$2, 10))=$AA$2, 10, ""))</f>
        <v/>
      </c>
      <c r="M5" s="10">
        <f>IF(ISERROR(DATE($L$1, $AA$2, 11)), "", IF(MONTH(DATE($L$1, $AA$2, 11))=$AA$2, 11, ""))</f>
        <v/>
      </c>
      <c r="N5" s="10">
        <f>IF(ISERROR(DATE($L$1, $AA$2, 12)), "", IF(MONTH(DATE($L$1, $AA$2, 12))=$AA$2, 12, ""))</f>
        <v/>
      </c>
      <c r="O5" s="10">
        <f>IF(ISERROR(DATE($L$1, $AA$2, 13)), "", IF(MONTH(DATE($L$1, $AA$2, 13))=$AA$2, 13, ""))</f>
        <v/>
      </c>
      <c r="P5" s="10">
        <f>IF(ISERROR(DATE($L$1, $AA$2, 14)), "", IF(MONTH(DATE($L$1, $AA$2, 14))=$AA$2, 14, ""))</f>
        <v/>
      </c>
      <c r="Q5" s="10">
        <f>IF(ISERROR(DATE($L$1, $AA$2, 15)), "", IF(MONTH(DATE($L$1, $AA$2, 15))=$AA$2, 15, ""))</f>
        <v/>
      </c>
      <c r="R5" s="10">
        <f>IF(ISERROR(DATE($L$1, $AA$2, 16)), "", IF(MONTH(DATE($L$1, $AA$2, 16))=$AA$2, 16, ""))</f>
        <v/>
      </c>
      <c r="S5" s="10">
        <f>IF(ISERROR(DATE($L$1, $AA$2, 17)), "", IF(MONTH(DATE($L$1, $AA$2, 17))=$AA$2, 17, ""))</f>
        <v/>
      </c>
      <c r="T5" s="10">
        <f>IF(ISERROR(DATE($L$1, $AA$2, 18)), "", IF(MONTH(DATE($L$1, $AA$2, 18))=$AA$2, 18, ""))</f>
        <v/>
      </c>
      <c r="U5" s="10">
        <f>IF(ISERROR(DATE($L$1, $AA$2, 19)), "", IF(MONTH(DATE($L$1, $AA$2, 19))=$AA$2, 19, ""))</f>
        <v/>
      </c>
      <c r="V5" s="10">
        <f>IF(ISERROR(DATE($L$1, $AA$2, 20)), "", IF(MONTH(DATE($L$1, $AA$2, 20))=$AA$2, 20, ""))</f>
        <v/>
      </c>
      <c r="W5" s="10">
        <f>IF(ISERROR(DATE($L$1, $AA$2, 21)), "", IF(MONTH(DATE($L$1, $AA$2, 21))=$AA$2, 21, ""))</f>
        <v/>
      </c>
      <c r="X5" s="10">
        <f>IF(ISERROR(DATE($L$1, $AA$2, 22)), "", IF(MONTH(DATE($L$1, $AA$2, 22))=$AA$2, 22, ""))</f>
        <v/>
      </c>
      <c r="Y5" s="10">
        <f>IF(ISERROR(DATE($L$1, $AA$2, 23)), "", IF(MONTH(DATE($L$1, $AA$2, 23))=$AA$2, 23, ""))</f>
        <v/>
      </c>
      <c r="Z5" s="10">
        <f>IF(ISERROR(DATE($L$1, $AA$2, 24)), "", IF(MONTH(DATE($L$1, $AA$2, 24))=$AA$2, 24, ""))</f>
        <v/>
      </c>
      <c r="AA5" s="10">
        <f>IF(ISERROR(DATE($L$1, $AA$2, 25)), "", IF(MONTH(DATE($L$1, $AA$2, 25))=$AA$2, 25, ""))</f>
        <v/>
      </c>
      <c r="AB5" s="10">
        <f>IF(ISERROR(DATE($L$1, $AA$2, 26)), "", IF(MONTH(DATE($L$1, $AA$2, 26))=$AA$2, 26, ""))</f>
        <v/>
      </c>
      <c r="AC5" s="10">
        <f>IF(ISERROR(DATE($L$1, $AA$2, 27)), "", IF(MONTH(DATE($L$1, $AA$2, 27))=$AA$2, 27, ""))</f>
        <v/>
      </c>
      <c r="AD5" s="10">
        <f>IF(ISERROR(DATE($L$1, $AA$2, 28)), "", IF(MONTH(DATE($L$1, $AA$2, 28))=$AA$2, 28, ""))</f>
        <v/>
      </c>
      <c r="AE5" s="10">
        <f>IF(ISERROR(DATE($L$1, $AA$2, 29)), "", IF(MONTH(DATE($L$1, $AA$2, 29))=$AA$2, 29, ""))</f>
        <v/>
      </c>
      <c r="AF5" s="10">
        <f>IF(ISERROR(DATE($L$1, $AA$2, 30)), "", IF(MONTH(DATE($L$1, $AA$2, 30))=$AA$2, 30, ""))</f>
        <v/>
      </c>
      <c r="AG5" s="10">
        <f>IF(ISERROR(DATE($L$1, $AA$2, 31)), "", IF(MONTH(DATE($L$1, $AA$2, 31))=$AA$2, 31, ""))</f>
        <v/>
      </c>
    </row>
    <row r="6">
      <c r="A6" s="11" t="inlineStr">
        <is>
          <t>FÍSICO</t>
        </is>
      </c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</row>
    <row r="7">
      <c r="A7" s="11" t="inlineStr">
        <is>
          <t>TÉCNICO</t>
        </is>
      </c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</row>
    <row r="8">
      <c r="A8" s="11" t="inlineStr">
        <is>
          <t>TÁTICO</t>
        </is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</row>
    <row r="9">
      <c r="A9" s="11" t="inlineStr">
        <is>
          <t>VÍDEO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</row>
    <row r="10">
      <c r="A10" s="11" t="inlineStr">
        <is>
          <t>AMISTOSO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</row>
    <row r="11">
      <c r="A11" s="11" t="inlineStr">
        <is>
          <t>COLETIVO</t>
        </is>
      </c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</row>
    <row r="12">
      <c r="A12" s="11" t="inlineStr">
        <is>
          <t>PALESTRA</t>
        </is>
      </c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</row>
    <row r="13">
      <c r="A13" s="11" t="inlineStr">
        <is>
          <t>ACADEMIA</t>
        </is>
      </c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</row>
    <row r="15" ht="5" customHeight="1"/>
    <row r="16">
      <c r="A16" s="13" t="inlineStr">
        <is>
          <t>AVALIAÇÃO DO TREINO</t>
        </is>
      </c>
      <c r="B16" s="14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</row>
    <row r="18">
      <c r="A18" s="2" t="inlineStr">
        <is>
          <t>ATLETA</t>
        </is>
      </c>
      <c r="B18" s="2" t="inlineStr">
        <is>
          <t>POS</t>
        </is>
      </c>
    </row>
    <row r="19">
      <c r="A19" s="16">
        <f>SORT(FILTER(DB_ATLETAS!B5:B100, ISNUMBER(SEARCH(DB_ATLETAS!D5:D100, $AA$1)), "Sem atletas nessa cat."))</f>
        <v/>
      </c>
      <c r="B19" s="17">
        <f>IF(A19="","",IFERROR(VLOOKUP(A19,DB_ATLETAS!B:F,5,0),""))</f>
        <v/>
      </c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</row>
    <row r="20">
      <c r="A20" s="18" t="n"/>
      <c r="B20" s="19">
        <f>IF(A20="","",IFERROR(VLOOKUP(A20,DB_ATLETAS!B:F,5,0),""))</f>
        <v/>
      </c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  <c r="AG20" s="19" t="n"/>
    </row>
    <row r="21">
      <c r="A21" s="20" t="n"/>
      <c r="B21" s="17">
        <f>IF(A21="","",IFERROR(VLOOKUP(A21,DB_ATLETAS!B:F,5,0),""))</f>
        <v/>
      </c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</row>
    <row r="22">
      <c r="A22" s="18" t="n"/>
      <c r="B22" s="19">
        <f>IF(A22="","",IFERROR(VLOOKUP(A22,DB_ATLETAS!B:F,5,0),""))</f>
        <v/>
      </c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  <c r="AA22" s="19" t="n"/>
      <c r="AB22" s="19" t="n"/>
      <c r="AC22" s="19" t="n"/>
      <c r="AD22" s="19" t="n"/>
      <c r="AE22" s="19" t="n"/>
      <c r="AF22" s="19" t="n"/>
      <c r="AG22" s="19" t="n"/>
    </row>
    <row r="23">
      <c r="A23" s="20" t="n"/>
      <c r="B23" s="17">
        <f>IF(A23="","",IFERROR(VLOOKUP(A23,DB_ATLETAS!B:F,5,0),""))</f>
        <v/>
      </c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</row>
    <row r="24">
      <c r="A24" s="18" t="n"/>
      <c r="B24" s="19">
        <f>IF(A24="","",IFERROR(VLOOKUP(A24,DB_ATLETAS!B:F,5,0),""))</f>
        <v/>
      </c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</row>
    <row r="25">
      <c r="A25" s="20" t="n"/>
      <c r="B25" s="17">
        <f>IF(A25="","",IFERROR(VLOOKUP(A25,DB_ATLETAS!B:F,5,0),""))</f>
        <v/>
      </c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</row>
    <row r="26">
      <c r="A26" s="18" t="n"/>
      <c r="B26" s="19">
        <f>IF(A26="","",IFERROR(VLOOKUP(A26,DB_ATLETAS!B:F,5,0),""))</f>
        <v/>
      </c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19" t="n"/>
      <c r="AF26" s="19" t="n"/>
      <c r="AG26" s="19" t="n"/>
    </row>
    <row r="27">
      <c r="A27" s="20" t="n"/>
      <c r="B27" s="17">
        <f>IF(A27="","",IFERROR(VLOOKUP(A27,DB_ATLETAS!B:F,5,0),""))</f>
        <v/>
      </c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</row>
    <row r="28">
      <c r="A28" s="18" t="n"/>
      <c r="B28" s="19">
        <f>IF(A28="","",IFERROR(VLOOKUP(A28,DB_ATLETAS!B:F,5,0),""))</f>
        <v/>
      </c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  <c r="AE28" s="19" t="n"/>
      <c r="AF28" s="19" t="n"/>
      <c r="AG28" s="19" t="n"/>
    </row>
    <row r="29">
      <c r="A29" s="20" t="n"/>
      <c r="B29" s="17">
        <f>IF(A29="","",IFERROR(VLOOKUP(A29,DB_ATLETAS!B:F,5,0),""))</f>
        <v/>
      </c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</row>
    <row r="30">
      <c r="A30" s="18" t="n"/>
      <c r="B30" s="19">
        <f>IF(A30="","",IFERROR(VLOOKUP(A30,DB_ATLETAS!B:F,5,0),""))</f>
        <v/>
      </c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  <c r="AE30" s="19" t="n"/>
      <c r="AF30" s="19" t="n"/>
      <c r="AG30" s="19" t="n"/>
    </row>
    <row r="31">
      <c r="A31" s="20" t="n"/>
      <c r="B31" s="17">
        <f>IF(A31="","",IFERROR(VLOOKUP(A31,DB_ATLETAS!B:F,5,0),""))</f>
        <v/>
      </c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</row>
    <row r="32">
      <c r="A32" s="18" t="n"/>
      <c r="B32" s="19">
        <f>IF(A32="","",IFERROR(VLOOKUP(A32,DB_ATLETAS!B:F,5,0),""))</f>
        <v/>
      </c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19" t="n"/>
      <c r="AF32" s="19" t="n"/>
      <c r="AG32" s="19" t="n"/>
    </row>
    <row r="33">
      <c r="A33" s="20" t="n"/>
      <c r="B33" s="17">
        <f>IF(A33="","",IFERROR(VLOOKUP(A33,DB_ATLETAS!B:F,5,0),""))</f>
        <v/>
      </c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</row>
    <row r="34">
      <c r="A34" s="18" t="n"/>
      <c r="B34" s="19">
        <f>IF(A34="","",IFERROR(VLOOKUP(A34,DB_ATLETAS!B:F,5,0),""))</f>
        <v/>
      </c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  <c r="AA34" s="19" t="n"/>
      <c r="AB34" s="19" t="n"/>
      <c r="AC34" s="19" t="n"/>
      <c r="AD34" s="19" t="n"/>
      <c r="AE34" s="19" t="n"/>
      <c r="AF34" s="19" t="n"/>
      <c r="AG34" s="19" t="n"/>
    </row>
    <row r="35">
      <c r="A35" s="20" t="n"/>
      <c r="B35" s="17">
        <f>IF(A35="","",IFERROR(VLOOKUP(A35,DB_ATLETAS!B:F,5,0),""))</f>
        <v/>
      </c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</row>
    <row r="36">
      <c r="A36" s="18" t="n"/>
      <c r="B36" s="19">
        <f>IF(A36="","",IFERROR(VLOOKUP(A36,DB_ATLETAS!B:F,5,0),""))</f>
        <v/>
      </c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  <c r="AA36" s="19" t="n"/>
      <c r="AB36" s="19" t="n"/>
      <c r="AC36" s="19" t="n"/>
      <c r="AD36" s="19" t="n"/>
      <c r="AE36" s="19" t="n"/>
      <c r="AF36" s="19" t="n"/>
      <c r="AG36" s="19" t="n"/>
    </row>
    <row r="37">
      <c r="A37" s="20" t="n"/>
      <c r="B37" s="17">
        <f>IF(A37="","",IFERROR(VLOOKUP(A37,DB_ATLETAS!B:F,5,0),""))</f>
        <v/>
      </c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</row>
    <row r="38">
      <c r="A38" s="18" t="n"/>
      <c r="B38" s="19">
        <f>IF(A38="","",IFERROR(VLOOKUP(A38,DB_ATLETAS!B:F,5,0),""))</f>
        <v/>
      </c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  <c r="AA38" s="19" t="n"/>
      <c r="AB38" s="19" t="n"/>
      <c r="AC38" s="19" t="n"/>
      <c r="AD38" s="19" t="n"/>
      <c r="AE38" s="19" t="n"/>
      <c r="AF38" s="19" t="n"/>
      <c r="AG38" s="19" t="n"/>
    </row>
    <row r="39">
      <c r="A39" s="20" t="n"/>
      <c r="B39" s="17">
        <f>IF(A39="","",IFERROR(VLOOKUP(A39,DB_ATLETAS!B:F,5,0),""))</f>
        <v/>
      </c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</row>
    <row r="40">
      <c r="A40" s="18" t="n"/>
      <c r="B40" s="19">
        <f>IF(A40="","",IFERROR(VLOOKUP(A40,DB_ATLETAS!B:F,5,0),""))</f>
        <v/>
      </c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  <c r="AA40" s="19" t="n"/>
      <c r="AB40" s="19" t="n"/>
      <c r="AC40" s="19" t="n"/>
      <c r="AD40" s="19" t="n"/>
      <c r="AE40" s="19" t="n"/>
      <c r="AF40" s="19" t="n"/>
      <c r="AG40" s="19" t="n"/>
    </row>
    <row r="41">
      <c r="A41" s="20" t="n"/>
      <c r="B41" s="17">
        <f>IF(A41="","",IFERROR(VLOOKUP(A41,DB_ATLETAS!B:F,5,0),""))</f>
        <v/>
      </c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</row>
    <row r="42">
      <c r="A42" s="18" t="n"/>
      <c r="B42" s="19">
        <f>IF(A42="","",IFERROR(VLOOKUP(A42,DB_ATLETAS!B:F,5,0),""))</f>
        <v/>
      </c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9" t="n"/>
      <c r="AE42" s="19" t="n"/>
      <c r="AF42" s="19" t="n"/>
      <c r="AG42" s="19" t="n"/>
    </row>
    <row r="43">
      <c r="A43" s="20" t="n"/>
      <c r="B43" s="17">
        <f>IF(A43="","",IFERROR(VLOOKUP(A43,DB_ATLETAS!B:F,5,0),""))</f>
        <v/>
      </c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</row>
    <row r="44">
      <c r="A44" s="18" t="n"/>
      <c r="B44" s="19">
        <f>IF(A44="","",IFERROR(VLOOKUP(A44,DB_ATLETAS!B:F,5,0),""))</f>
        <v/>
      </c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n"/>
      <c r="AG44" s="19" t="n"/>
    </row>
    <row r="45">
      <c r="A45" s="20" t="n"/>
      <c r="B45" s="17">
        <f>IF(A45="","",IFERROR(VLOOKUP(A45,DB_ATLETAS!B:F,5,0),""))</f>
        <v/>
      </c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</row>
    <row r="46">
      <c r="A46" s="18" t="n"/>
      <c r="B46" s="19">
        <f>IF(A46="","",IFERROR(VLOOKUP(A46,DB_ATLETAS!B:F,5,0),""))</f>
        <v/>
      </c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  <c r="AA46" s="19" t="n"/>
      <c r="AB46" s="19" t="n"/>
      <c r="AC46" s="19" t="n"/>
      <c r="AD46" s="19" t="n"/>
      <c r="AE46" s="19" t="n"/>
      <c r="AF46" s="19" t="n"/>
      <c r="AG46" s="19" t="n"/>
    </row>
    <row r="47">
      <c r="A47" s="20" t="n"/>
      <c r="B47" s="17">
        <f>IF(A47="","",IFERROR(VLOOKUP(A47,DB_ATLETAS!B:F,5,0),""))</f>
        <v/>
      </c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</row>
    <row r="48">
      <c r="A48" s="18" t="n"/>
      <c r="B48" s="19">
        <f>IF(A48="","",IFERROR(VLOOKUP(A48,DB_ATLETAS!B:F,5,0),""))</f>
        <v/>
      </c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  <c r="AA48" s="19" t="n"/>
      <c r="AB48" s="19" t="n"/>
      <c r="AC48" s="19" t="n"/>
      <c r="AD48" s="19" t="n"/>
      <c r="AE48" s="19" t="n"/>
      <c r="AF48" s="19" t="n"/>
      <c r="AG48" s="19" t="n"/>
    </row>
    <row r="49">
      <c r="A49" s="20" t="n"/>
      <c r="B49" s="17">
        <f>IF(A49="","",IFERROR(VLOOKUP(A49,DB_ATLETAS!B:F,5,0),""))</f>
        <v/>
      </c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</row>
    <row r="50">
      <c r="A50" s="18" t="n"/>
      <c r="B50" s="19">
        <f>IF(A50="","",IFERROR(VLOOKUP(A50,DB_ATLETAS!B:F,5,0),""))</f>
        <v/>
      </c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  <c r="AA50" s="19" t="n"/>
      <c r="AB50" s="19" t="n"/>
      <c r="AC50" s="19" t="n"/>
      <c r="AD50" s="19" t="n"/>
      <c r="AE50" s="19" t="n"/>
      <c r="AF50" s="19" t="n"/>
      <c r="AG50" s="19" t="n"/>
    </row>
    <row r="51">
      <c r="A51" s="20" t="n"/>
      <c r="B51" s="17">
        <f>IF(A51="","",IFERROR(VLOOKUP(A51,DB_ATLETAS!B:F,5,0),""))</f>
        <v/>
      </c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</row>
    <row r="52">
      <c r="A52" s="18" t="n"/>
      <c r="B52" s="19">
        <f>IF(A52="","",IFERROR(VLOOKUP(A52,DB_ATLETAS!B:F,5,0),""))</f>
        <v/>
      </c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  <c r="AA52" s="19" t="n"/>
      <c r="AB52" s="19" t="n"/>
      <c r="AC52" s="19" t="n"/>
      <c r="AD52" s="19" t="n"/>
      <c r="AE52" s="19" t="n"/>
      <c r="AF52" s="19" t="n"/>
      <c r="AG52" s="19" t="n"/>
    </row>
    <row r="53">
      <c r="A53" s="20" t="n"/>
      <c r="B53" s="17">
        <f>IF(A53="","",IFERROR(VLOOKUP(A53,DB_ATLETAS!B:F,5,0),""))</f>
        <v/>
      </c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</row>
    <row r="54">
      <c r="A54" s="18" t="n"/>
      <c r="B54" s="19">
        <f>IF(A54="","",IFERROR(VLOOKUP(A54,DB_ATLETAS!B:F,5,0),""))</f>
        <v/>
      </c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  <c r="AA54" s="19" t="n"/>
      <c r="AB54" s="19" t="n"/>
      <c r="AC54" s="19" t="n"/>
      <c r="AD54" s="19" t="n"/>
      <c r="AE54" s="19" t="n"/>
      <c r="AF54" s="19" t="n"/>
      <c r="AG54" s="19" t="n"/>
    </row>
    <row r="55">
      <c r="A55" s="20" t="n"/>
      <c r="B55" s="17">
        <f>IF(A55="","",IFERROR(VLOOKUP(A55,DB_ATLETAS!B:F,5,0),""))</f>
        <v/>
      </c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</row>
    <row r="56">
      <c r="A56" s="18" t="n"/>
      <c r="B56" s="19">
        <f>IF(A56="","",IFERROR(VLOOKUP(A56,DB_ATLETAS!B:F,5,0),""))</f>
        <v/>
      </c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  <c r="AA56" s="19" t="n"/>
      <c r="AB56" s="19" t="n"/>
      <c r="AC56" s="19" t="n"/>
      <c r="AD56" s="19" t="n"/>
      <c r="AE56" s="19" t="n"/>
      <c r="AF56" s="19" t="n"/>
      <c r="AG56" s="19" t="n"/>
    </row>
    <row r="57">
      <c r="A57" s="20" t="n"/>
      <c r="B57" s="17">
        <f>IF(A57="","",IFERROR(VLOOKUP(A57,DB_ATLETAS!B:F,5,0),""))</f>
        <v/>
      </c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</row>
    <row r="58">
      <c r="A58" s="18" t="n"/>
      <c r="B58" s="19">
        <f>IF(A58="","",IFERROR(VLOOKUP(A58,DB_ATLETAS!B:F,5,0),""))</f>
        <v/>
      </c>
      <c r="C58" s="19" t="n"/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9" t="n"/>
      <c r="AA58" s="19" t="n"/>
      <c r="AB58" s="19" t="n"/>
      <c r="AC58" s="19" t="n"/>
      <c r="AD58" s="19" t="n"/>
      <c r="AE58" s="19" t="n"/>
      <c r="AF58" s="19" t="n"/>
      <c r="AG58" s="19" t="n"/>
    </row>
  </sheetData>
  <mergeCells count="1">
    <mergeCell ref="A16:B16"/>
  </mergeCells>
  <conditionalFormatting sqref="C19:AG58">
    <cfRule type="expression" priority="1" dxfId="0">
      <formula>OR(A1="1", A1="Ruim", A1="F")</formula>
    </cfRule>
    <cfRule type="expression" priority="2" dxfId="1">
      <formula>OR(A1="2", A1="Na Média")</formula>
    </cfRule>
    <cfRule type="expression" priority="3" dxfId="2">
      <formula>OR(A1="3", A1="Bom", A1="Se Destacou")</formula>
    </cfRule>
    <cfRule type="expression" priority="4" dxfId="3">
      <formula>OR(A1="FO", A1="AM", A1="CH")</formula>
    </cfRule>
  </conditionalFormatting>
  <conditionalFormatting sqref="C16:AG16">
    <cfRule type="expression" priority="5" dxfId="0">
      <formula>OR(A1="1", A1="Ruim", A1="F")</formula>
    </cfRule>
    <cfRule type="expression" priority="6" dxfId="1">
      <formula>OR(A1="2", A1="Na Média")</formula>
    </cfRule>
    <cfRule type="expression" priority="7" dxfId="2">
      <formula>OR(A1="3", A1="Bom", A1="Se Destacou")</formula>
    </cfRule>
    <cfRule type="expression" priority="8" dxfId="3">
      <formula>OR(A1="FO", A1="AM", A1="CH")</formula>
    </cfRule>
  </conditionalFormatting>
  <dataValidations count="5">
    <dataValidation sqref="F1" showDropDown="0" showInputMessage="0" showErrorMessage="0" allowBlank="0" type="list">
      <formula1>'CONFIG'!$E$4:$E$15</formula1>
    </dataValidation>
    <dataValidation sqref="I1" showDropDown="0" showInputMessage="0" showErrorMessage="0" allowBlank="0" type="list">
      <formula1>'CONFIG'!$B$4:$B$11</formula1>
    </dataValidation>
    <dataValidation sqref="C6:AG13" showDropDown="0" showInputMessage="0" showErrorMessage="0" allowBlank="1" type="list">
      <formula1>"x"</formula1>
    </dataValidation>
    <dataValidation sqref="C16:AG16" showDropDown="0" showInputMessage="0" showErrorMessage="0" allowBlank="0" type="list">
      <formula1>'CONFIG'!$H$4:$H$9</formula1>
    </dataValidation>
    <dataValidation sqref="C19:AG58" showDropDown="0" showInputMessage="0" showErrorMessage="0" allowBlank="0" type="list">
      <formula1>'CONFIG'!$G$4:$G$8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2026-01-04T23:28:45Z</dcterms:created>
  <dcterms:modified xmlns:dcterms="http://purl.org/dc/terms/" xmlns:xsi="http://www.w3.org/2001/XMLSchema-instance" xsi:type="dcterms:W3CDTF">2026-01-04T23:28:45Z</dcterms:modified>
</cp:coreProperties>
</file>