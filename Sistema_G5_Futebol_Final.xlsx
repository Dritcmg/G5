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B_ATLETAS" sheetId="2" state="visible" r:id="rId2"/>
    <sheet xmlns:r="http://schemas.openxmlformats.org/officeDocument/2006/relationships" name="TREI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1C40F"/>
      <u val="single"/>
    </font>
    <font>
      <b val="1"/>
      <sz val="16"/>
    </font>
    <font>
      <b val="1"/>
    </font>
    <font>
      <b val="1"/>
      <color rgb="00FFFFFF"/>
      <sz val="11"/>
    </font>
    <font>
      <b val="1"/>
      <sz val="9"/>
    </font>
    <font>
      <b val="1"/>
      <color rgb="0034495E"/>
      <sz val="10"/>
    </font>
  </fonts>
  <fills count="7">
    <fill>
      <patternFill/>
    </fill>
    <fill>
      <patternFill patternType="gray125"/>
    </fill>
    <fill>
      <patternFill patternType="solid">
        <fgColor rgb="000C343D"/>
      </patternFill>
    </fill>
    <fill>
      <patternFill patternType="solid">
        <fgColor rgb="00134F5C"/>
        <bgColor rgb="00134F5C"/>
      </patternFill>
    </fill>
    <fill>
      <patternFill patternType="solid">
        <fgColor rgb="00D6EAF8"/>
      </patternFill>
    </fill>
    <fill>
      <patternFill patternType="solid">
        <fgColor rgb="00EAEDED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0" borderId="0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0" fillId="0" borderId="1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TREINOS'!A1" TargetMode="External" Id="rId2"/><Relationship Type="http://schemas.openxmlformats.org/officeDocument/2006/relationships/hyperlink" Target="#'DB_ATLETAS'!A1" TargetMode="External" Id="rId3"/><Relationship Type="http://schemas.openxmlformats.org/officeDocument/2006/relationships/hyperlink" Target="#'CONFIG'!A1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TREINOS'!A1" TargetMode="External" Id="rId2"/><Relationship Type="http://schemas.openxmlformats.org/officeDocument/2006/relationships/hyperlink" Target="#'DB_ATLETAS'!A1" TargetMode="External" Id="rId3"/><Relationship Type="http://schemas.openxmlformats.org/officeDocument/2006/relationships/hyperlink" Target="#'CONFIG'!A1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TREINOS'!A1" TargetMode="External" Id="rId2"/><Relationship Type="http://schemas.openxmlformats.org/officeDocument/2006/relationships/hyperlink" Target="#'DB_ATLETAS'!A1" TargetMode="External" Id="rId3"/><Relationship Type="http://schemas.openxmlformats.org/officeDocument/2006/relationships/hyperlink" Target="#'CONFIG'!A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B1" s="1" t="inlineStr">
        <is>
          <t>DASHBOARD</t>
        </is>
      </c>
      <c r="C1" s="1" t="inlineStr">
        <is>
          <t>TREINOS</t>
        </is>
      </c>
      <c r="D1" s="1" t="inlineStr">
        <is>
          <t>DB_ATLETAS</t>
        </is>
      </c>
      <c r="E1" s="2" t="inlineStr">
        <is>
          <t>CONFIG</t>
        </is>
      </c>
    </row>
    <row r="3">
      <c r="B3" s="3" t="inlineStr">
        <is>
          <t>CONFIGURAÇÕES DO SISTEMA</t>
        </is>
      </c>
    </row>
    <row r="5">
      <c r="B5" s="4" t="inlineStr">
        <is>
          <t>CATEGORIA</t>
        </is>
      </c>
      <c r="C5" s="4" t="inlineStr">
        <is>
          <t>NOS DE NASCIMENTO</t>
        </is>
      </c>
      <c r="E5" s="5" t="inlineStr">
        <is>
          <t>LEGENDA ATLETA (Status)</t>
        </is>
      </c>
      <c r="H5" s="5" t="inlineStr">
        <is>
          <t>LEGENDA TREINO (Dia)</t>
        </is>
      </c>
    </row>
    <row r="6">
      <c r="B6" t="inlineStr">
        <is>
          <t>Sub 17</t>
        </is>
      </c>
      <c r="C6" t="inlineStr">
        <is>
          <t>2009, 2010</t>
        </is>
      </c>
      <c r="E6" t="inlineStr">
        <is>
          <t>1</t>
        </is>
      </c>
      <c r="F6" t="inlineStr">
        <is>
          <t>ABAIXO</t>
        </is>
      </c>
      <c r="H6" t="inlineStr">
        <is>
          <t>1</t>
        </is>
      </c>
      <c r="I6" t="inlineStr">
        <is>
          <t>TREINO RUIM</t>
        </is>
      </c>
    </row>
    <row r="7">
      <c r="B7" t="inlineStr">
        <is>
          <t>Sub 15</t>
        </is>
      </c>
      <c r="C7" t="inlineStr">
        <is>
          <t>2011</t>
        </is>
      </c>
      <c r="E7" t="inlineStr">
        <is>
          <t>2</t>
        </is>
      </c>
      <c r="F7" t="inlineStr">
        <is>
          <t>NA Média</t>
        </is>
      </c>
      <c r="H7" t="inlineStr">
        <is>
          <t>2</t>
        </is>
      </c>
      <c r="I7" t="inlineStr">
        <is>
          <t>NA MEDIA</t>
        </is>
      </c>
    </row>
    <row r="8">
      <c r="B8" t="inlineStr">
        <is>
          <t>Sub 14</t>
        </is>
      </c>
      <c r="C8" t="inlineStr">
        <is>
          <t>2012</t>
        </is>
      </c>
      <c r="E8" t="inlineStr">
        <is>
          <t>3</t>
        </is>
      </c>
      <c r="F8" t="inlineStr">
        <is>
          <t>SE DESTACOU</t>
        </is>
      </c>
      <c r="H8" t="inlineStr">
        <is>
          <t>3</t>
        </is>
      </c>
      <c r="I8" t="inlineStr">
        <is>
          <t>TREINO BOM</t>
        </is>
      </c>
    </row>
    <row r="9">
      <c r="B9" t="inlineStr">
        <is>
          <t>Sub 13</t>
        </is>
      </c>
      <c r="C9" t="inlineStr">
        <is>
          <t>2013</t>
        </is>
      </c>
      <c r="E9" t="inlineStr">
        <is>
          <t>F</t>
        </is>
      </c>
      <c r="F9" t="inlineStr">
        <is>
          <t>FALTOU</t>
        </is>
      </c>
      <c r="H9" t="inlineStr">
        <is>
          <t>FO</t>
        </is>
      </c>
      <c r="I9" t="inlineStr">
        <is>
          <t>FOLGA</t>
        </is>
      </c>
    </row>
    <row r="10">
      <c r="B10" t="inlineStr">
        <is>
          <t>Sub 12</t>
        </is>
      </c>
      <c r="C10" t="inlineStr">
        <is>
          <t>2014</t>
        </is>
      </c>
      <c r="E10" t="inlineStr">
        <is>
          <t>DM</t>
        </is>
      </c>
      <c r="F10" t="inlineStr">
        <is>
          <t>LESÃO</t>
        </is>
      </c>
      <c r="H10" t="inlineStr">
        <is>
          <t>AM</t>
        </is>
      </c>
      <c r="I10" t="inlineStr">
        <is>
          <t>AMISTOSO</t>
        </is>
      </c>
    </row>
    <row r="11">
      <c r="B11" t="inlineStr">
        <is>
          <t>Sub 11</t>
        </is>
      </c>
      <c r="C11" t="inlineStr">
        <is>
          <t>2015</t>
        </is>
      </c>
      <c r="H11" t="inlineStr">
        <is>
          <t>CH</t>
        </is>
      </c>
      <c r="I11" t="inlineStr">
        <is>
          <t>CHOVEU</t>
        </is>
      </c>
    </row>
    <row r="12">
      <c r="B12" t="inlineStr">
        <is>
          <t>Sub 10</t>
        </is>
      </c>
      <c r="C12" t="inlineStr">
        <is>
          <t>2016</t>
        </is>
      </c>
    </row>
    <row r="13">
      <c r="B13" t="inlineStr">
        <is>
          <t>Sub 9</t>
        </is>
      </c>
      <c r="C13" t="inlineStr">
        <is>
          <t>2017</t>
        </is>
      </c>
    </row>
    <row r="20">
      <c r="B20" t="inlineStr">
        <is>
          <t>Janeiro</t>
        </is>
      </c>
    </row>
    <row r="21">
      <c r="B21" t="inlineStr">
        <is>
          <t>Fevereiro</t>
        </is>
      </c>
    </row>
    <row r="22">
      <c r="B22" t="inlineStr">
        <is>
          <t>Março</t>
        </is>
      </c>
    </row>
    <row r="23">
      <c r="B23" t="inlineStr">
        <is>
          <t>Abril</t>
        </is>
      </c>
    </row>
    <row r="24">
      <c r="B24" t="inlineStr">
        <is>
          <t>Maio</t>
        </is>
      </c>
    </row>
    <row r="25">
      <c r="B25" t="inlineStr">
        <is>
          <t>Junho</t>
        </is>
      </c>
    </row>
    <row r="26">
      <c r="B26" t="inlineStr">
        <is>
          <t>Julho</t>
        </is>
      </c>
    </row>
    <row r="27">
      <c r="B27" t="inlineStr">
        <is>
          <t>Agosto</t>
        </is>
      </c>
    </row>
    <row r="28">
      <c r="B28" t="inlineStr">
        <is>
          <t>Setembro</t>
        </is>
      </c>
    </row>
    <row r="29">
      <c r="B29" t="inlineStr">
        <is>
          <t>Outubro</t>
        </is>
      </c>
    </row>
    <row r="30">
      <c r="B30" t="inlineStr">
        <is>
          <t>Novembro</t>
        </is>
      </c>
    </row>
    <row r="31">
      <c r="B31" t="inlineStr">
        <is>
          <t>Dezembro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1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20" customWidth="1" min="4" max="4"/>
    <col width="20" customWidth="1" min="5" max="5"/>
  </cols>
  <sheetData>
    <row r="1" ht="30" customHeight="1">
      <c r="B1" s="1" t="inlineStr">
        <is>
          <t>DASHBOARD</t>
        </is>
      </c>
      <c r="C1" s="1" t="inlineStr">
        <is>
          <t>TREINOS</t>
        </is>
      </c>
      <c r="D1" s="2" t="inlineStr">
        <is>
          <t>DB_ATLETAS</t>
        </is>
      </c>
      <c r="E1" s="1" t="inlineStr">
        <is>
          <t>CONFIG</t>
        </is>
      </c>
    </row>
    <row r="3">
      <c r="B3" s="3" t="inlineStr">
        <is>
          <t>CADASTRO DE ATLETAS</t>
        </is>
      </c>
    </row>
    <row r="5">
      <c r="B5" s="5" t="inlineStr">
        <is>
          <t>Nome do Atleta</t>
        </is>
      </c>
      <c r="C5" s="5" t="inlineStr">
        <is>
          <t>Data Nasc</t>
        </is>
      </c>
      <c r="D5" s="5" t="inlineStr">
        <is>
          <t>Ano (Auto)</t>
        </is>
      </c>
      <c r="E5" s="5" t="inlineStr">
        <is>
          <t>Categoria (Auto)</t>
        </is>
      </c>
    </row>
    <row r="6">
      <c r="B6" t="inlineStr">
        <is>
          <t>Gabriel Silva</t>
        </is>
      </c>
      <c r="C6" t="inlineStr">
        <is>
          <t>12/05/2012</t>
        </is>
      </c>
      <c r="D6">
        <f>VALUE(RIGHT(C6, 4))</f>
        <v/>
      </c>
      <c r="E6">
        <f>IF(D6=2012, "Sub 14", "Outros")</f>
        <v/>
      </c>
    </row>
    <row r="7">
      <c r="B7" t="inlineStr">
        <is>
          <t>Lucas Pereira</t>
        </is>
      </c>
      <c r="C7" t="inlineStr">
        <is>
          <t>08/02/2012</t>
        </is>
      </c>
      <c r="D7">
        <f>VALUE(RIGHT(C7, 4))</f>
        <v/>
      </c>
      <c r="E7">
        <f>IF(D7=2012, "Sub 14", "Outros")</f>
        <v/>
      </c>
    </row>
    <row r="8">
      <c r="B8" t="inlineStr">
        <is>
          <t>Matheus Oliveira</t>
        </is>
      </c>
      <c r="C8" t="inlineStr">
        <is>
          <t>15/09/2011</t>
        </is>
      </c>
      <c r="D8">
        <f>VALUE(RIGHT(C8, 4))</f>
        <v/>
      </c>
      <c r="E8">
        <f>IF(D8=2012, "Sub 14", "Outros")</f>
        <v/>
      </c>
    </row>
    <row r="9">
      <c r="B9" t="inlineStr">
        <is>
          <t>Enzo Santos</t>
        </is>
      </c>
      <c r="C9" t="inlineStr">
        <is>
          <t>20/01/2013</t>
        </is>
      </c>
      <c r="D9">
        <f>VALUE(RIGHT(C9, 4))</f>
        <v/>
      </c>
      <c r="E9">
        <f>IF(D9=2012, "Sub 14", "Outros")</f>
        <v/>
      </c>
    </row>
    <row r="10">
      <c r="B10" t="inlineStr">
        <is>
          <t>Pedro Rocha</t>
        </is>
      </c>
      <c r="C10" t="inlineStr">
        <is>
          <t>05/11/2012</t>
        </is>
      </c>
      <c r="D10">
        <f>VALUE(RIGHT(C10, 4))</f>
        <v/>
      </c>
      <c r="E10">
        <f>IF(D10=2012, "Sub 14", "Outros")</f>
        <v/>
      </c>
    </row>
    <row r="11">
      <c r="B11" t="inlineStr">
        <is>
          <t>João Souza</t>
        </is>
      </c>
      <c r="C11" t="inlineStr">
        <is>
          <t>18/07/1900</t>
        </is>
      </c>
      <c r="D11">
        <f>VALUE(RIGHT(C11, 4))</f>
        <v/>
      </c>
      <c r="E11">
        <f>IF(D11=2012, "Sub 14", "Outros")</f>
        <v/>
      </c>
    </row>
  </sheetData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hidden="1" width="4" customWidth="1" min="27" max="27"/>
    <col hidden="1"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30" customHeight="1">
      <c r="B1" s="1" t="inlineStr">
        <is>
          <t>DASHBOARD</t>
        </is>
      </c>
      <c r="C1" s="2" t="inlineStr">
        <is>
          <t>TREINOS</t>
        </is>
      </c>
      <c r="D1" s="1" t="inlineStr">
        <is>
          <t>DB_ATLETAS</t>
        </is>
      </c>
      <c r="E1" s="1" t="inlineStr">
        <is>
          <t>CONFIG</t>
        </is>
      </c>
      <c r="AA1" t="inlineStr">
        <is>
          <t>Mês Num</t>
        </is>
      </c>
      <c r="AB1">
        <f>MATCH(C3, CONFIG!B20:B31, 0)</f>
        <v/>
      </c>
    </row>
    <row r="2">
      <c r="AA2" t="inlineStr">
        <is>
          <t>Ano alvo</t>
        </is>
      </c>
      <c r="AB2" t="n">
        <v>2026</v>
      </c>
    </row>
    <row r="3">
      <c r="B3" s="4" t="inlineStr">
        <is>
          <t>SELECIONE O MÊS:</t>
        </is>
      </c>
      <c r="C3" s="6" t="inlineStr">
        <is>
          <t>Janeiro</t>
        </is>
      </c>
      <c r="E3" s="4" t="inlineStr">
        <is>
          <t>SELECIONE A CATEGORIA:</t>
        </is>
      </c>
      <c r="F3" s="6" t="inlineStr">
        <is>
          <t>Sub 14</t>
        </is>
      </c>
    </row>
    <row r="4">
      <c r="AA4" t="inlineStr">
        <is>
          <t>Anos Categoria</t>
        </is>
      </c>
      <c r="AB4">
        <f>VLOOKUP(F3, CONFIG!B6:C13, 2, 0)</f>
        <v/>
      </c>
    </row>
    <row r="5">
      <c r="C5" s="7">
        <f>IFERROR(TEXT(DATE($AB$2, $AB$1, 1), "ddd"), "")</f>
        <v/>
      </c>
      <c r="D5" s="7">
        <f>IFERROR(TEXT(DATE($AB$2, $AB$1, 2), "ddd"), "")</f>
        <v/>
      </c>
      <c r="E5" s="7">
        <f>IFERROR(TEXT(DATE($AB$2, $AB$1, 3), "ddd"), "")</f>
        <v/>
      </c>
      <c r="F5" s="7">
        <f>IFERROR(TEXT(DATE($AB$2, $AB$1, 4), "ddd"), "")</f>
        <v/>
      </c>
      <c r="G5" s="7">
        <f>IFERROR(TEXT(DATE($AB$2, $AB$1, 5), "ddd"), "")</f>
        <v/>
      </c>
      <c r="H5" s="7">
        <f>IFERROR(TEXT(DATE($AB$2, $AB$1, 6), "ddd"), "")</f>
        <v/>
      </c>
      <c r="I5" s="7">
        <f>IFERROR(TEXT(DATE($AB$2, $AB$1, 7), "ddd"), "")</f>
        <v/>
      </c>
      <c r="J5" s="7">
        <f>IFERROR(TEXT(DATE($AB$2, $AB$1, 8), "ddd"), "")</f>
        <v/>
      </c>
      <c r="K5" s="7">
        <f>IFERROR(TEXT(DATE($AB$2, $AB$1, 9), "ddd"), "")</f>
        <v/>
      </c>
      <c r="L5" s="7">
        <f>IFERROR(TEXT(DATE($AB$2, $AB$1, 10), "ddd"), "")</f>
        <v/>
      </c>
      <c r="M5" s="7">
        <f>IFERROR(TEXT(DATE($AB$2, $AB$1, 11), "ddd"), "")</f>
        <v/>
      </c>
      <c r="N5" s="7">
        <f>IFERROR(TEXT(DATE($AB$2, $AB$1, 12), "ddd"), "")</f>
        <v/>
      </c>
      <c r="O5" s="7">
        <f>IFERROR(TEXT(DATE($AB$2, $AB$1, 13), "ddd"), "")</f>
        <v/>
      </c>
      <c r="P5" s="7">
        <f>IFERROR(TEXT(DATE($AB$2, $AB$1, 14), "ddd"), "")</f>
        <v/>
      </c>
      <c r="Q5" s="7">
        <f>IFERROR(TEXT(DATE($AB$2, $AB$1, 15), "ddd"), "")</f>
        <v/>
      </c>
      <c r="R5" s="7">
        <f>IFERROR(TEXT(DATE($AB$2, $AB$1, 16), "ddd"), "")</f>
        <v/>
      </c>
      <c r="S5" s="7">
        <f>IFERROR(TEXT(DATE($AB$2, $AB$1, 17), "ddd"), "")</f>
        <v/>
      </c>
      <c r="T5" s="7">
        <f>IFERROR(TEXT(DATE($AB$2, $AB$1, 18), "ddd"), "")</f>
        <v/>
      </c>
      <c r="U5" s="7">
        <f>IFERROR(TEXT(DATE($AB$2, $AB$1, 19), "ddd"), "")</f>
        <v/>
      </c>
      <c r="V5" s="7">
        <f>IFERROR(TEXT(DATE($AB$2, $AB$1, 20), "ddd"), "")</f>
        <v/>
      </c>
      <c r="W5" s="7">
        <f>IFERROR(TEXT(DATE($AB$2, $AB$1, 21), "ddd"), "")</f>
        <v/>
      </c>
      <c r="X5" s="7">
        <f>IFERROR(TEXT(DATE($AB$2, $AB$1, 22), "ddd"), "")</f>
        <v/>
      </c>
      <c r="Y5" s="7">
        <f>IFERROR(TEXT(DATE($AB$2, $AB$1, 23), "ddd"), "")</f>
        <v/>
      </c>
      <c r="Z5" s="7">
        <f>IFERROR(TEXT(DATE($AB$2, $AB$1, 24), "ddd"), "")</f>
        <v/>
      </c>
      <c r="AA5" s="7">
        <f>IFERROR(TEXT(DATE($AB$2, $AB$1, 25), "ddd"), "")</f>
        <v/>
      </c>
      <c r="AB5" s="7">
        <f>IFERROR(TEXT(DATE($AB$2, $AB$1, 26), "ddd"), "")</f>
        <v/>
      </c>
      <c r="AC5" s="7">
        <f>IFERROR(TEXT(DATE($AB$2, $AB$1, 27), "ddd"), "")</f>
        <v/>
      </c>
      <c r="AD5" s="7">
        <f>IFERROR(TEXT(DATE($AB$2, $AB$1, 28), "ddd"), "")</f>
        <v/>
      </c>
      <c r="AE5" s="7">
        <f>IFERROR(TEXT(DATE($AB$2, $AB$1, 29), "ddd"), "")</f>
        <v/>
      </c>
      <c r="AF5" s="7">
        <f>IFERROR(TEXT(DATE($AB$2, $AB$1, 30), "ddd"), "")</f>
        <v/>
      </c>
      <c r="AG5" s="7">
        <f>IFERROR(TEXT(DATE($AB$2, $AB$1, 31), "ddd"), "")</f>
        <v/>
      </c>
    </row>
    <row r="6">
      <c r="C6" s="8">
        <f>IF(IFERROR(MONTH(DATE($AB$2, $AB$1, 1)), 0)=$AB$1, 1, "")</f>
        <v/>
      </c>
      <c r="D6" s="8">
        <f>IF(IFERROR(MONTH(DATE($AB$2, $AB$1, 2)), 0)=$AB$1, 2, "")</f>
        <v/>
      </c>
      <c r="E6" s="8">
        <f>IF(IFERROR(MONTH(DATE($AB$2, $AB$1, 3)), 0)=$AB$1, 3, "")</f>
        <v/>
      </c>
      <c r="F6" s="8">
        <f>IF(IFERROR(MONTH(DATE($AB$2, $AB$1, 4)), 0)=$AB$1, 4, "")</f>
        <v/>
      </c>
      <c r="G6" s="8">
        <f>IF(IFERROR(MONTH(DATE($AB$2, $AB$1, 5)), 0)=$AB$1, 5, "")</f>
        <v/>
      </c>
      <c r="H6" s="8">
        <f>IF(IFERROR(MONTH(DATE($AB$2, $AB$1, 6)), 0)=$AB$1, 6, "")</f>
        <v/>
      </c>
      <c r="I6" s="8">
        <f>IF(IFERROR(MONTH(DATE($AB$2, $AB$1, 7)), 0)=$AB$1, 7, "")</f>
        <v/>
      </c>
      <c r="J6" s="8">
        <f>IF(IFERROR(MONTH(DATE($AB$2, $AB$1, 8)), 0)=$AB$1, 8, "")</f>
        <v/>
      </c>
      <c r="K6" s="8">
        <f>IF(IFERROR(MONTH(DATE($AB$2, $AB$1, 9)), 0)=$AB$1, 9, "")</f>
        <v/>
      </c>
      <c r="L6" s="8">
        <f>IF(IFERROR(MONTH(DATE($AB$2, $AB$1, 10)), 0)=$AB$1, 10, "")</f>
        <v/>
      </c>
      <c r="M6" s="8">
        <f>IF(IFERROR(MONTH(DATE($AB$2, $AB$1, 11)), 0)=$AB$1, 11, "")</f>
        <v/>
      </c>
      <c r="N6" s="8">
        <f>IF(IFERROR(MONTH(DATE($AB$2, $AB$1, 12)), 0)=$AB$1, 12, "")</f>
        <v/>
      </c>
      <c r="O6" s="8">
        <f>IF(IFERROR(MONTH(DATE($AB$2, $AB$1, 13)), 0)=$AB$1, 13, "")</f>
        <v/>
      </c>
      <c r="P6" s="8">
        <f>IF(IFERROR(MONTH(DATE($AB$2, $AB$1, 14)), 0)=$AB$1, 14, "")</f>
        <v/>
      </c>
      <c r="Q6" s="8">
        <f>IF(IFERROR(MONTH(DATE($AB$2, $AB$1, 15)), 0)=$AB$1, 15, "")</f>
        <v/>
      </c>
      <c r="R6" s="8">
        <f>IF(IFERROR(MONTH(DATE($AB$2, $AB$1, 16)), 0)=$AB$1, 16, "")</f>
        <v/>
      </c>
      <c r="S6" s="8">
        <f>IF(IFERROR(MONTH(DATE($AB$2, $AB$1, 17)), 0)=$AB$1, 17, "")</f>
        <v/>
      </c>
      <c r="T6" s="8">
        <f>IF(IFERROR(MONTH(DATE($AB$2, $AB$1, 18)), 0)=$AB$1, 18, "")</f>
        <v/>
      </c>
      <c r="U6" s="8">
        <f>IF(IFERROR(MONTH(DATE($AB$2, $AB$1, 19)), 0)=$AB$1, 19, "")</f>
        <v/>
      </c>
      <c r="V6" s="8">
        <f>IF(IFERROR(MONTH(DATE($AB$2, $AB$1, 20)), 0)=$AB$1, 20, "")</f>
        <v/>
      </c>
      <c r="W6" s="8">
        <f>IF(IFERROR(MONTH(DATE($AB$2, $AB$1, 21)), 0)=$AB$1, 21, "")</f>
        <v/>
      </c>
      <c r="X6" s="8">
        <f>IF(IFERROR(MONTH(DATE($AB$2, $AB$1, 22)), 0)=$AB$1, 22, "")</f>
        <v/>
      </c>
      <c r="Y6" s="8">
        <f>IF(IFERROR(MONTH(DATE($AB$2, $AB$1, 23)), 0)=$AB$1, 23, "")</f>
        <v/>
      </c>
      <c r="Z6" s="8">
        <f>IF(IFERROR(MONTH(DATE($AB$2, $AB$1, 24)), 0)=$AB$1, 24, "")</f>
        <v/>
      </c>
      <c r="AA6" s="8">
        <f>IF(IFERROR(MONTH(DATE($AB$2, $AB$1, 25)), 0)=$AB$1, 25, "")</f>
        <v/>
      </c>
      <c r="AB6" s="8">
        <f>IF(IFERROR(MONTH(DATE($AB$2, $AB$1, 26)), 0)=$AB$1, 26, "")</f>
        <v/>
      </c>
      <c r="AC6" s="8">
        <f>IF(IFERROR(MONTH(DATE($AB$2, $AB$1, 27)), 0)=$AB$1, 27, "")</f>
        <v/>
      </c>
      <c r="AD6" s="8">
        <f>IF(IFERROR(MONTH(DATE($AB$2, $AB$1, 28)), 0)=$AB$1, 28, "")</f>
        <v/>
      </c>
      <c r="AE6" s="8">
        <f>IF(IFERROR(MONTH(DATE($AB$2, $AB$1, 29)), 0)=$AB$1, 29, "")</f>
        <v/>
      </c>
      <c r="AF6" s="8">
        <f>IF(IFERROR(MONTH(DATE($AB$2, $AB$1, 30)), 0)=$AB$1, 30, "")</f>
        <v/>
      </c>
      <c r="AG6" s="8">
        <f>IF(IFERROR(MONTH(DATE($AB$2, $AB$1, 31)), 0)=$AB$1, 31, "")</f>
        <v/>
      </c>
    </row>
    <row r="7">
      <c r="A7" s="9" t="inlineStr">
        <is>
          <t>Físico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9" t="inlineStr">
        <is>
          <t>Técnico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9" t="inlineStr">
        <is>
          <t>Tático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9" t="inlineStr">
        <is>
          <t>Físico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9" t="inlineStr">
        <is>
          <t>Técnico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9" t="inlineStr">
        <is>
          <t>Técnico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9" t="inlineStr">
        <is>
          <t>Tatico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9" t="inlineStr">
        <is>
          <t>Vídeo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9" t="inlineStr">
        <is>
          <t>Amistoso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9" t="inlineStr">
        <is>
          <t>Paulista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9" t="inlineStr">
        <is>
          <t>Teste Fisico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9" t="inlineStr">
        <is>
          <t>Coletivo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9" t="inlineStr">
        <is>
          <t>Palestra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9" t="inlineStr">
        <is>
          <t>Academia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2">
      <c r="A22" s="11" t="inlineStr">
        <is>
          <t>AVALIAÇÃO GERAL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</row>
    <row r="24">
      <c r="A24" s="4" t="inlineStr">
        <is>
          <t>NOME DO ATLETA</t>
        </is>
      </c>
    </row>
    <row r="25">
      <c r="A25">
        <f>FILTER(DB_ATLETAS!B6:B100, ISNUMBER(SEARCH(DB_ATLETAS!D6:D100, $AB$4)), "Nenhum atleta")</f>
        <v/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  <row r="41"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</row>
    <row r="43"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</row>
    <row r="44"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</row>
    <row r="45"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</row>
    <row r="46"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</row>
    <row r="47"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</row>
    <row r="48"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</row>
    <row r="49"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</row>
    <row r="50"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</row>
    <row r="51"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</row>
    <row r="52"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</row>
    <row r="53"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</row>
    <row r="54"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</row>
    <row r="55"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</row>
    <row r="56"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</row>
    <row r="57"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</row>
    <row r="58"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</row>
    <row r="59"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</row>
    <row r="60"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</row>
    <row r="61"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</row>
    <row r="62"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</row>
    <row r="63"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</row>
    <row r="64"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</row>
    <row r="65"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</row>
  </sheetData>
  <dataValidations count="5">
    <dataValidation sqref="C3" showDropDown="0" showInputMessage="0" showErrorMessage="0" allowBlank="0" type="list">
      <formula1>'CONFIG'!$B$20:$B$31</formula1>
    </dataValidation>
    <dataValidation sqref="F3" showDropDown="0" showInputMessage="0" showErrorMessage="0" allowBlank="0" type="list">
      <formula1>'CONFIG'!$B$6:$B$13</formula1>
    </dataValidation>
    <dataValidation sqref="C7:AG20" showDropDown="0" showInputMessage="0" showErrorMessage="0" allowBlank="1" type="list">
      <formula1>"x, "</formula1>
    </dataValidation>
    <dataValidation sqref="C22:AG22" showDropDown="0" showInputMessage="0" showErrorMessage="0" allowBlank="1" type="list">
      <formula1>'CONFIG'!$H$6:$H$11</formula1>
    </dataValidation>
    <dataValidation sqref="C25:AG65" showDropDown="0" showInputMessage="0" showErrorMessage="0" allowBlank="1" type="list">
      <formula1>'CONFIG'!$E$6:$E$10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2026-01-04T23:18:48Z</dcterms:created>
  <dcterms:modified xmlns:dcterms="http://purl.org/dc/terms/" xmlns:xsi="http://www.w3.org/2001/XMLSchema-instance" xsi:type="dcterms:W3CDTF">2026-01-04T23:18:48Z</dcterms:modified>
</cp:coreProperties>
</file>